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Sheet1" sheetId="1" r:id="rId1"/>
    <sheet name="Sheet3" sheetId="3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1.13 *0.5
1.21 *0.5</t>
        </r>
      </text>
    </comment>
    <comment ref="B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1.7 *1</t>
        </r>
      </text>
    </comment>
  </commentList>
</comments>
</file>

<file path=xl/sharedStrings.xml><?xml version="1.0" encoding="utf-8"?>
<sst xmlns="http://schemas.openxmlformats.org/spreadsheetml/2006/main" count="42" uniqueCount="38">
  <si>
    <t>2026 年 一 月 工 资 表</t>
  </si>
  <si>
    <t>姓名</t>
  </si>
  <si>
    <t>入职时间</t>
  </si>
  <si>
    <t>工龄</t>
  </si>
  <si>
    <t>出勤天数</t>
  </si>
  <si>
    <t>基本工资</t>
  </si>
  <si>
    <t>实际工资</t>
  </si>
  <si>
    <t>补偿</t>
  </si>
  <si>
    <t>全勤奖金</t>
  </si>
  <si>
    <t>调薪记录</t>
  </si>
  <si>
    <t>奖金</t>
  </si>
  <si>
    <t>试用期薪资</t>
  </si>
  <si>
    <t>生日经费</t>
  </si>
  <si>
    <t>体检经费</t>
  </si>
  <si>
    <t>税前工资</t>
  </si>
  <si>
    <t>补税</t>
  </si>
  <si>
    <t>养老保险</t>
  </si>
  <si>
    <t>医疗保险</t>
  </si>
  <si>
    <t>失业保险</t>
  </si>
  <si>
    <t>公积金</t>
  </si>
  <si>
    <t>请假扣除</t>
  </si>
  <si>
    <t>迟到罚款</t>
  </si>
  <si>
    <t>小计</t>
  </si>
  <si>
    <t>个税</t>
  </si>
  <si>
    <t>税后实发</t>
  </si>
  <si>
    <t>备注</t>
  </si>
  <si>
    <t>罗汉金</t>
  </si>
  <si>
    <t>吴伟滨</t>
  </si>
  <si>
    <t>龚辉</t>
  </si>
  <si>
    <t>王淼</t>
  </si>
  <si>
    <t>马纯敏</t>
  </si>
  <si>
    <t>合计</t>
  </si>
  <si>
    <t>6212263602112954821</t>
  </si>
  <si>
    <t>6222033602017530773</t>
  </si>
  <si>
    <t>6212260200053764219</t>
  </si>
  <si>
    <t>李季鸿</t>
  </si>
  <si>
    <t>6212253602059699290</t>
  </si>
  <si>
    <t>6212253602073692875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</si>
</sst>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yyyy&quot;年&quot;m&quot;月&quot;d&quot;日&quot;;@"/>
    <numFmt numFmtId="179" formatCode="[=0]&quot;&quot;;General"/>
  </numFmts>
  <fonts count="32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sz val="9"/>
      <color rgb="FF000000"/>
      <name val="宋体"/>
      <charset val="134"/>
    </font>
    <font>
      <sz val="10"/>
      <color theme="1"/>
      <name val="方正兰亭圆_GBK"/>
      <charset val="134"/>
    </font>
    <font>
      <b/>
      <sz val="10"/>
      <color rgb="FF203764"/>
      <name val="方正兰亭圆_GBK"/>
      <charset val="134"/>
    </font>
    <font>
      <sz val="10"/>
      <color theme="8" tint="-0.499984740745262"/>
      <name val="方正兰亭圆_GBK"/>
      <charset val="134"/>
    </font>
    <font>
      <b/>
      <sz val="10"/>
      <color theme="8" tint="-0.499984740745262"/>
      <name val="方正兰亭圆_GBK"/>
      <charset val="134"/>
    </font>
    <font>
      <b/>
      <sz val="11"/>
      <color theme="8" tint="-0.499984740745262"/>
      <name val="方正兰亭圆_GBK"/>
      <charset val="134"/>
    </font>
    <font>
      <sz val="10"/>
      <name val="方正兰亭圆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/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/>
      <bottom style="thin">
        <color theme="8" tint="-0.499984740745262"/>
      </bottom>
      <diagonal/>
    </border>
    <border>
      <left style="medium">
        <color theme="8" tint="-0.499984740745262"/>
      </left>
      <right/>
      <top style="thin">
        <color theme="8" tint="-0.499984740745262"/>
      </top>
      <bottom style="medium">
        <color theme="8" tint="-0.499984740745262"/>
      </bottom>
      <diagonal/>
    </border>
    <border>
      <left/>
      <right style="thin">
        <color theme="8" tint="-0.499984740745262"/>
      </right>
      <top style="thin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 style="thin">
        <color theme="8" tint="-0.499984740745262"/>
      </top>
      <bottom style="medium">
        <color theme="8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8" applyNumberFormat="0" applyAlignment="0" applyProtection="0">
      <alignment vertical="center"/>
    </xf>
    <xf numFmtId="0" fontId="20" fillId="6" borderId="19" applyNumberFormat="0" applyAlignment="0" applyProtection="0">
      <alignment vertical="center"/>
    </xf>
    <xf numFmtId="0" fontId="21" fillId="6" borderId="18" applyNumberFormat="0" applyAlignment="0" applyProtection="0">
      <alignment vertical="center"/>
    </xf>
    <xf numFmtId="0" fontId="22" fillId="7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>
      <alignment vertical="center"/>
    </xf>
    <xf numFmtId="0" fontId="0" fillId="0" borderId="4" xfId="0" applyBorder="1">
      <alignment vertical="center"/>
    </xf>
    <xf numFmtId="0" fontId="3" fillId="0" borderId="4" xfId="0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176" fontId="5" fillId="0" borderId="0" xfId="0" applyNumberFormat="1" applyFont="1" applyFill="1" applyAlignment="1">
      <alignment vertical="center"/>
    </xf>
    <xf numFmtId="177" fontId="5" fillId="0" borderId="0" xfId="0" applyNumberFormat="1" applyFont="1" applyFill="1" applyAlignment="1">
      <alignment vertical="center"/>
    </xf>
    <xf numFmtId="177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178" fontId="8" fillId="3" borderId="6" xfId="0" applyNumberFormat="1" applyFont="1" applyFill="1" applyBorder="1" applyAlignment="1">
      <alignment horizontal="center" vertical="center" wrapText="1"/>
    </xf>
    <xf numFmtId="0" fontId="8" fillId="3" borderId="7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176" fontId="9" fillId="3" borderId="4" xfId="0" applyNumberFormat="1" applyFont="1" applyFill="1" applyBorder="1" applyAlignment="1">
      <alignment horizontal="center" vertical="center" wrapText="1"/>
    </xf>
    <xf numFmtId="176" fontId="8" fillId="3" borderId="4" xfId="0" applyNumberFormat="1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177" fontId="8" fillId="3" borderId="6" xfId="0" applyNumberFormat="1" applyFont="1" applyFill="1" applyBorder="1" applyAlignment="1">
      <alignment horizontal="center" vertical="center" wrapText="1"/>
    </xf>
    <xf numFmtId="177" fontId="8" fillId="3" borderId="7" xfId="0" applyNumberFormat="1" applyFont="1" applyFill="1" applyBorder="1" applyAlignment="1">
      <alignment horizontal="center" vertical="center" wrapText="1"/>
    </xf>
    <xf numFmtId="177" fontId="8" fillId="3" borderId="9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8" fontId="7" fillId="0" borderId="6" xfId="0" applyNumberFormat="1" applyFont="1" applyFill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/>
    </xf>
    <xf numFmtId="179" fontId="7" fillId="0" borderId="10" xfId="0" applyNumberFormat="1" applyFont="1" applyFill="1" applyBorder="1" applyAlignment="1">
      <alignment horizontal="center" vertical="center"/>
    </xf>
    <xf numFmtId="176" fontId="7" fillId="0" borderId="1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77" fontId="7" fillId="0" borderId="6" xfId="0" applyNumberFormat="1" applyFont="1" applyFill="1" applyBorder="1" applyAlignment="1">
      <alignment horizontal="center" vertical="center"/>
    </xf>
    <xf numFmtId="177" fontId="7" fillId="0" borderId="7" xfId="0" applyNumberFormat="1" applyFont="1" applyFill="1" applyBorder="1" applyAlignment="1">
      <alignment horizontal="center" vertical="center"/>
    </xf>
    <xf numFmtId="177" fontId="7" fillId="0" borderId="9" xfId="0" applyNumberFormat="1" applyFont="1" applyFill="1" applyBorder="1" applyAlignment="1">
      <alignment horizontal="center" vertical="center"/>
    </xf>
    <xf numFmtId="178" fontId="10" fillId="0" borderId="5" xfId="0" applyNumberFormat="1" applyFont="1" applyFill="1" applyBorder="1" applyAlignment="1">
      <alignment horizontal="center" vertical="center"/>
    </xf>
    <xf numFmtId="176" fontId="7" fillId="0" borderId="6" xfId="0" applyNumberFormat="1" applyFont="1" applyFill="1" applyBorder="1" applyAlignment="1">
      <alignment horizontal="center" vertical="center"/>
    </xf>
    <xf numFmtId="178" fontId="7" fillId="0" borderId="8" xfId="0" applyNumberFormat="1" applyFont="1" applyFill="1" applyBorder="1" applyAlignment="1">
      <alignment horizontal="center" vertical="center"/>
    </xf>
    <xf numFmtId="178" fontId="7" fillId="0" borderId="5" xfId="0" applyNumberFormat="1" applyFont="1" applyFill="1" applyBorder="1" applyAlignment="1">
      <alignment horizontal="center" vertical="center"/>
    </xf>
    <xf numFmtId="178" fontId="8" fillId="0" borderId="11" xfId="0" applyNumberFormat="1" applyFont="1" applyFill="1" applyBorder="1" applyAlignment="1">
      <alignment horizontal="center" vertical="center"/>
    </xf>
    <xf numFmtId="178" fontId="8" fillId="0" borderId="12" xfId="0" applyNumberFormat="1" applyFont="1" applyFill="1" applyBorder="1" applyAlignment="1">
      <alignment horizontal="center" vertical="center"/>
    </xf>
    <xf numFmtId="0" fontId="8" fillId="0" borderId="13" xfId="0" applyNumberFormat="1" applyFont="1" applyFill="1" applyBorder="1" applyAlignment="1">
      <alignment horizontal="center" vertical="center"/>
    </xf>
    <xf numFmtId="177" fontId="8" fillId="0" borderId="13" xfId="0" applyNumberFormat="1" applyFont="1" applyFill="1" applyBorder="1" applyAlignment="1">
      <alignment horizontal="center" vertical="center"/>
    </xf>
    <xf numFmtId="177" fontId="8" fillId="0" borderId="1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 quotePrefix="1">
      <alignment horizontal="center" vertical="center" wrapText="1"/>
    </xf>
    <xf numFmtId="176" fontId="3" fillId="0" borderId="4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s\&#36130;&#21153;\2023&#24180;&#20840;&#24180;&#24037;&#36164;&#31649;&#29702;&#31995;&#32479;&#65288;&#24037;&#36164;&#34920;&#65289;&#26085;&#21382;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基础信息"/>
      <sheetName val="年度应发工资汇总"/>
      <sheetName val="一月"/>
      <sheetName val="二月"/>
      <sheetName val="三月"/>
      <sheetName val="四月"/>
      <sheetName val="五月"/>
      <sheetName val="六月"/>
      <sheetName val="七月"/>
      <sheetName val="八月"/>
      <sheetName val="九月"/>
      <sheetName val="十月"/>
      <sheetName val="十一月"/>
      <sheetName val="十二月"/>
    </sheetNames>
    <sheetDataSet>
      <sheetData sheetId="0" refreshError="1"/>
      <sheetData sheetId="1" refreshError="1">
        <row r="3">
          <cell r="B3" t="str">
            <v>姓名</v>
          </cell>
          <cell r="C3" t="str">
            <v>入职日期</v>
          </cell>
          <cell r="D3" t="str">
            <v>工龄</v>
          </cell>
          <cell r="E3" t="str">
            <v>基础薪资</v>
          </cell>
        </row>
        <row r="4">
          <cell r="B4" t="str">
            <v>罗汉金</v>
          </cell>
          <cell r="C4">
            <v>44713</v>
          </cell>
          <cell r="D4">
            <v>1</v>
          </cell>
          <cell r="E4">
            <v>1500</v>
          </cell>
        </row>
        <row r="5">
          <cell r="B5" t="str">
            <v>梁友奎</v>
          </cell>
          <cell r="C5">
            <v>44713</v>
          </cell>
          <cell r="D5">
            <v>1</v>
          </cell>
          <cell r="E5">
            <v>1500</v>
          </cell>
        </row>
        <row r="6">
          <cell r="B6" t="str">
            <v>温建东</v>
          </cell>
          <cell r="C6">
            <v>44713</v>
          </cell>
          <cell r="D6">
            <v>1</v>
          </cell>
          <cell r="E6">
            <v>1500</v>
          </cell>
        </row>
        <row r="7">
          <cell r="B7" t="str">
            <v>龚辉</v>
          </cell>
          <cell r="C7">
            <v>44713</v>
          </cell>
          <cell r="D7">
            <v>1</v>
          </cell>
          <cell r="E7">
            <v>3500</v>
          </cell>
        </row>
        <row r="8">
          <cell r="B8" t="str">
            <v>王淼</v>
          </cell>
          <cell r="C8">
            <v>44136</v>
          </cell>
          <cell r="D8">
            <v>2</v>
          </cell>
          <cell r="E8">
            <v>1500</v>
          </cell>
        </row>
        <row r="9">
          <cell r="B9" t="str">
            <v>吴秀媚</v>
          </cell>
          <cell r="C9">
            <v>44927</v>
          </cell>
          <cell r="D9">
            <v>0</v>
          </cell>
        </row>
        <row r="10">
          <cell r="B10" t="str">
            <v>吴伟滨</v>
          </cell>
          <cell r="C10">
            <v>44927</v>
          </cell>
          <cell r="D10">
            <v>0</v>
          </cell>
        </row>
        <row r="11">
          <cell r="B11" t="str">
            <v>李梦瑶</v>
          </cell>
          <cell r="C11">
            <v>44927</v>
          </cell>
          <cell r="D11">
            <v>0</v>
          </cell>
        </row>
        <row r="12">
          <cell r="B12" t="str">
            <v>宋德明</v>
          </cell>
          <cell r="C12">
            <v>44927</v>
          </cell>
          <cell r="D12">
            <v>0</v>
          </cell>
        </row>
        <row r="13">
          <cell r="B13" t="str">
            <v>高振威</v>
          </cell>
          <cell r="C13">
            <v>44927</v>
          </cell>
          <cell r="D13">
            <v>0</v>
          </cell>
        </row>
        <row r="14">
          <cell r="B14" t="str">
            <v>黄泽茵</v>
          </cell>
          <cell r="C14">
            <v>44927</v>
          </cell>
          <cell r="D14">
            <v>0</v>
          </cell>
        </row>
        <row r="15">
          <cell r="B15" t="str">
            <v>邓春玲</v>
          </cell>
          <cell r="C15">
            <v>45125</v>
          </cell>
          <cell r="D15">
            <v>0</v>
          </cell>
        </row>
        <row r="16">
          <cell r="D16" t="str">
            <v>0</v>
          </cell>
        </row>
        <row r="17">
          <cell r="D17" t="str">
            <v>0</v>
          </cell>
        </row>
        <row r="18">
          <cell r="D18" t="str">
            <v>0</v>
          </cell>
        </row>
        <row r="19">
          <cell r="D19" t="str">
            <v>0</v>
          </cell>
        </row>
        <row r="20">
          <cell r="D20" t="str">
            <v>0</v>
          </cell>
        </row>
        <row r="21">
          <cell r="D21" t="str">
            <v>0</v>
          </cell>
        </row>
        <row r="22">
          <cell r="D22" t="str">
            <v>0</v>
          </cell>
        </row>
        <row r="23">
          <cell r="D23" t="str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Z28"/>
  <sheetViews>
    <sheetView tabSelected="1" workbookViewId="0">
      <selection activeCell="AA32" sqref="AA32"/>
    </sheetView>
  </sheetViews>
  <sheetFormatPr defaultColWidth="9" defaultRowHeight="12"/>
  <cols>
    <col min="1" max="1" width="1.75" style="11" customWidth="1"/>
    <col min="2" max="2" width="6.375" style="12" customWidth="1"/>
    <col min="3" max="3" width="12.75" style="12" customWidth="1"/>
    <col min="4" max="4" width="5" style="12" customWidth="1"/>
    <col min="5" max="5" width="8.5" style="12" customWidth="1"/>
    <col min="6" max="7" width="8.5" style="11" customWidth="1"/>
    <col min="8" max="8" width="5" style="11" customWidth="1"/>
    <col min="9" max="9" width="7.375" style="11" customWidth="1"/>
    <col min="10" max="10" width="5" style="11" customWidth="1"/>
    <col min="11" max="11" width="5.75" style="11" customWidth="1"/>
    <col min="12" max="13" width="6.75" style="11" customWidth="1"/>
    <col min="14" max="14" width="5" style="11" customWidth="1"/>
    <col min="15" max="15" width="8.5" style="13" customWidth="1"/>
    <col min="16" max="16" width="5" style="11" customWidth="1"/>
    <col min="17" max="18" width="7.625" style="14" customWidth="1"/>
    <col min="19" max="19" width="5.875" style="14" customWidth="1"/>
    <col min="20" max="20" width="8.375" style="14" customWidth="1"/>
    <col min="21" max="21" width="7.625" style="14" customWidth="1"/>
    <col min="22" max="22" width="7.375" style="14" customWidth="1"/>
    <col min="23" max="23" width="9.5" style="14" customWidth="1"/>
    <col min="24" max="24" width="9.375" style="14" customWidth="1"/>
    <col min="25" max="25" width="10.5" style="14" customWidth="1"/>
    <col min="26" max="26" width="5" style="15" customWidth="1"/>
    <col min="27" max="27" width="18.1916666666667" style="11" customWidth="1"/>
    <col min="28" max="32" width="9" style="11"/>
    <col min="33" max="16384" width="12.375" style="11"/>
  </cols>
  <sheetData>
    <row r="1" s="11" customFormat="1" spans="2:26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="11" customFormat="1" spans="2:26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="11" customFormat="1" ht="24" spans="2:26">
      <c r="B3" s="18" t="s">
        <v>1</v>
      </c>
      <c r="C3" s="19" t="s">
        <v>2</v>
      </c>
      <c r="D3" s="20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2" t="s">
        <v>10</v>
      </c>
      <c r="L3" s="23" t="s">
        <v>11</v>
      </c>
      <c r="M3" s="23" t="s">
        <v>12</v>
      </c>
      <c r="N3" s="21" t="s">
        <v>13</v>
      </c>
      <c r="O3" s="23" t="s">
        <v>14</v>
      </c>
      <c r="P3" s="24" t="s">
        <v>15</v>
      </c>
      <c r="Q3" s="25" t="s">
        <v>16</v>
      </c>
      <c r="R3" s="25" t="s">
        <v>17</v>
      </c>
      <c r="S3" s="25" t="s">
        <v>18</v>
      </c>
      <c r="T3" s="25" t="s">
        <v>19</v>
      </c>
      <c r="U3" s="25" t="s">
        <v>20</v>
      </c>
      <c r="V3" s="25" t="s">
        <v>21</v>
      </c>
      <c r="W3" s="25" t="s">
        <v>22</v>
      </c>
      <c r="X3" s="26" t="s">
        <v>23</v>
      </c>
      <c r="Y3" s="26" t="s">
        <v>24</v>
      </c>
      <c r="Z3" s="27" t="s">
        <v>25</v>
      </c>
    </row>
    <row r="4" s="11" customFormat="1" spans="2:26">
      <c r="B4" s="28" t="s">
        <v>26</v>
      </c>
      <c r="C4" s="29">
        <v>45061</v>
      </c>
      <c r="D4" s="30">
        <v>2</v>
      </c>
      <c r="E4" s="31">
        <v>22.5</v>
      </c>
      <c r="F4" s="32">
        <v>5500</v>
      </c>
      <c r="G4" s="32">
        <v>5500</v>
      </c>
      <c r="H4" s="31">
        <v>0</v>
      </c>
      <c r="I4" s="31"/>
      <c r="J4" s="31">
        <v>0</v>
      </c>
      <c r="K4" s="31"/>
      <c r="L4" s="31"/>
      <c r="M4" s="31"/>
      <c r="N4" s="31"/>
      <c r="O4" s="32">
        <f t="shared" ref="O4:O9" si="0">SUM(G4:N4)</f>
        <v>5500</v>
      </c>
      <c r="P4" s="33"/>
      <c r="Q4" s="34">
        <v>440.8</v>
      </c>
      <c r="R4" s="34">
        <v>124.68</v>
      </c>
      <c r="S4" s="34">
        <v>5</v>
      </c>
      <c r="T4" s="34"/>
      <c r="U4" s="34">
        <v>88.7</v>
      </c>
      <c r="V4" s="34"/>
      <c r="W4" s="34">
        <f>SUM(P4:V4)</f>
        <v>659.18</v>
      </c>
      <c r="X4" s="35">
        <v>0</v>
      </c>
      <c r="Y4" s="35">
        <f>O4-W4-X4</f>
        <v>4840.82</v>
      </c>
      <c r="Z4" s="36"/>
    </row>
    <row r="5" s="11" customFormat="1" spans="2:26">
      <c r="B5" s="37" t="s">
        <v>27</v>
      </c>
      <c r="C5" s="29">
        <v>45460</v>
      </c>
      <c r="D5" s="30">
        <v>1</v>
      </c>
      <c r="E5" s="31">
        <v>20</v>
      </c>
      <c r="F5" s="38">
        <v>4900</v>
      </c>
      <c r="G5" s="38">
        <v>4900</v>
      </c>
      <c r="H5" s="33"/>
      <c r="I5" s="33"/>
      <c r="J5" s="33"/>
      <c r="K5" s="33">
        <v>250</v>
      </c>
      <c r="L5" s="33"/>
      <c r="M5" s="33"/>
      <c r="N5" s="33"/>
      <c r="O5" s="32">
        <f t="shared" si="0"/>
        <v>5150</v>
      </c>
      <c r="P5" s="33"/>
      <c r="Q5" s="34">
        <v>440.8</v>
      </c>
      <c r="R5" s="34">
        <v>124.68</v>
      </c>
      <c r="S5" s="34">
        <v>5</v>
      </c>
      <c r="T5" s="34"/>
      <c r="U5" s="34"/>
      <c r="V5" s="34"/>
      <c r="W5" s="34">
        <f>SUM(P5:V5)</f>
        <v>570.48</v>
      </c>
      <c r="X5" s="35">
        <v>0</v>
      </c>
      <c r="Y5" s="35">
        <f t="shared" ref="Y4:Y8" si="1">O5-W5-X5</f>
        <v>4579.52</v>
      </c>
      <c r="Z5" s="36"/>
    </row>
    <row r="6" s="11" customFormat="1" spans="2:26">
      <c r="B6" s="28" t="s">
        <v>28</v>
      </c>
      <c r="C6" s="29">
        <v>44330</v>
      </c>
      <c r="D6" s="30">
        <v>4</v>
      </c>
      <c r="E6" s="31">
        <v>20</v>
      </c>
      <c r="F6" s="38">
        <v>7000</v>
      </c>
      <c r="G6" s="38">
        <v>7000</v>
      </c>
      <c r="H6" s="33"/>
      <c r="I6" s="31"/>
      <c r="J6" s="33"/>
      <c r="K6" s="33"/>
      <c r="L6" s="33"/>
      <c r="M6" s="33"/>
      <c r="N6" s="33"/>
      <c r="O6" s="32">
        <f t="shared" si="0"/>
        <v>7000</v>
      </c>
      <c r="P6" s="33"/>
      <c r="Q6" s="34">
        <v>440.8</v>
      </c>
      <c r="R6" s="34">
        <v>124.68</v>
      </c>
      <c r="S6" s="34">
        <v>5</v>
      </c>
      <c r="T6" s="34"/>
      <c r="U6" s="34">
        <v>225.8</v>
      </c>
      <c r="V6" s="34"/>
      <c r="W6" s="34">
        <f t="shared" ref="W4:W8" si="2">SUM(P6:V6)</f>
        <v>796.28</v>
      </c>
      <c r="X6" s="35">
        <v>0</v>
      </c>
      <c r="Y6" s="35">
        <f t="shared" si="1"/>
        <v>6203.72</v>
      </c>
      <c r="Z6" s="36"/>
    </row>
    <row r="7" s="11" customFormat="1" spans="2:26">
      <c r="B7" s="28" t="s">
        <v>29</v>
      </c>
      <c r="C7" s="29">
        <f>IFERROR(VLOOKUP(B7,[1]基础信息!B:D,2,FALSE),"-")</f>
        <v>44136</v>
      </c>
      <c r="D7" s="30">
        <v>4</v>
      </c>
      <c r="E7" s="31">
        <v>23</v>
      </c>
      <c r="F7" s="38">
        <v>15000</v>
      </c>
      <c r="G7" s="38">
        <v>15000</v>
      </c>
      <c r="H7" s="33"/>
      <c r="I7" s="33"/>
      <c r="J7" s="33"/>
      <c r="K7" s="33"/>
      <c r="L7" s="33"/>
      <c r="M7" s="33"/>
      <c r="N7" s="33"/>
      <c r="O7" s="32">
        <f t="shared" si="0"/>
        <v>15000</v>
      </c>
      <c r="P7" s="33"/>
      <c r="Q7" s="34">
        <v>440.8</v>
      </c>
      <c r="R7" s="34">
        <v>124.68</v>
      </c>
      <c r="S7" s="34">
        <v>5</v>
      </c>
      <c r="T7" s="34">
        <v>1200</v>
      </c>
      <c r="U7" s="34"/>
      <c r="V7" s="34"/>
      <c r="W7" s="34">
        <f t="shared" si="2"/>
        <v>1770.48</v>
      </c>
      <c r="X7" s="35">
        <v>96.88</v>
      </c>
      <c r="Y7" s="35">
        <f t="shared" si="1"/>
        <v>13132.64</v>
      </c>
      <c r="Z7" s="36"/>
    </row>
    <row r="8" s="11" customFormat="1" spans="2:26">
      <c r="B8" s="10" t="s">
        <v>30</v>
      </c>
      <c r="C8" s="39">
        <v>45261</v>
      </c>
      <c r="D8" s="30">
        <v>2</v>
      </c>
      <c r="E8" s="31">
        <v>16</v>
      </c>
      <c r="F8" s="38">
        <v>6000</v>
      </c>
      <c r="G8" s="38">
        <v>6000</v>
      </c>
      <c r="H8" s="33"/>
      <c r="I8" s="33"/>
      <c r="J8" s="33"/>
      <c r="K8" s="33"/>
      <c r="L8" s="33"/>
      <c r="M8" s="33"/>
      <c r="N8" s="33"/>
      <c r="O8" s="38">
        <f t="shared" si="0"/>
        <v>6000</v>
      </c>
      <c r="P8" s="33"/>
      <c r="Q8" s="34">
        <v>440.8</v>
      </c>
      <c r="R8" s="34">
        <v>124.68</v>
      </c>
      <c r="S8" s="34">
        <v>5</v>
      </c>
      <c r="T8" s="34"/>
      <c r="U8" s="34">
        <v>193.5</v>
      </c>
      <c r="V8" s="34"/>
      <c r="W8" s="34">
        <f t="shared" si="2"/>
        <v>763.98</v>
      </c>
      <c r="X8" s="35">
        <v>7.08</v>
      </c>
      <c r="Y8" s="35">
        <f t="shared" si="1"/>
        <v>5228.94</v>
      </c>
      <c r="Z8" s="36"/>
    </row>
    <row r="9" s="11" customFormat="1" spans="2:26">
      <c r="B9" s="40"/>
      <c r="C9" s="29" t="str">
        <f>IFERROR(VLOOKUP(B9,[1]基础信息!B:D,2,FALSE),"-")</f>
        <v>-</v>
      </c>
      <c r="D9" s="30" t="str">
        <f>IFERROR(VLOOKUP(B9,[1]基础信息!B:D,3,FALSE),"-")</f>
        <v>-</v>
      </c>
      <c r="E9" s="33"/>
      <c r="F9" s="38" t="str">
        <f>IFERROR(VLOOKUP(B9,[1]基础信息!B:E,4,FALSE),"-")</f>
        <v>-</v>
      </c>
      <c r="G9" s="38"/>
      <c r="H9" s="33"/>
      <c r="I9" s="33"/>
      <c r="J9" s="33"/>
      <c r="K9" s="33"/>
      <c r="L9" s="33"/>
      <c r="M9" s="33"/>
      <c r="N9" s="33"/>
      <c r="O9" s="32">
        <f t="shared" si="0"/>
        <v>0</v>
      </c>
      <c r="P9" s="33"/>
      <c r="Q9" s="34"/>
      <c r="R9" s="34"/>
      <c r="S9" s="34"/>
      <c r="T9" s="34"/>
      <c r="U9" s="34"/>
      <c r="V9" s="34"/>
      <c r="W9" s="34">
        <f t="shared" ref="W9:W27" si="3">SUM(P9:V9)</f>
        <v>0</v>
      </c>
      <c r="X9" s="35">
        <v>0</v>
      </c>
      <c r="Y9" s="35">
        <f t="shared" ref="Y9:Y27" si="4">O9-W9-X9</f>
        <v>0</v>
      </c>
      <c r="Z9" s="36"/>
    </row>
    <row r="10" s="11" customFormat="1" spans="2:26">
      <c r="B10" s="40"/>
      <c r="C10" s="29" t="str">
        <f>IFERROR(VLOOKUP(B10,[1]基础信息!B:D,2,FALSE),"-")</f>
        <v>-</v>
      </c>
      <c r="D10" s="30" t="str">
        <f>IFERROR(VLOOKUP(B10,[1]基础信息!B:D,3,FALSE),"-")</f>
        <v>-</v>
      </c>
      <c r="E10" s="33"/>
      <c r="F10" s="38" t="str">
        <f>IFERROR(VLOOKUP(B10,[1]基础信息!B:E,4,FALSE),"-")</f>
        <v>-</v>
      </c>
      <c r="G10" s="38"/>
      <c r="H10" s="33"/>
      <c r="I10" s="33"/>
      <c r="J10" s="33"/>
      <c r="K10" s="33"/>
      <c r="L10" s="33"/>
      <c r="M10" s="33"/>
      <c r="N10" s="33"/>
      <c r="O10" s="38">
        <f t="shared" ref="O9:O27" si="5">SUM(F10:N10)</f>
        <v>0</v>
      </c>
      <c r="P10" s="33"/>
      <c r="Q10" s="34"/>
      <c r="R10" s="34"/>
      <c r="S10" s="34"/>
      <c r="T10" s="34"/>
      <c r="U10" s="34"/>
      <c r="V10" s="34"/>
      <c r="W10" s="34">
        <f t="shared" si="3"/>
        <v>0</v>
      </c>
      <c r="X10" s="35">
        <v>0</v>
      </c>
      <c r="Y10" s="35">
        <f t="shared" si="4"/>
        <v>0</v>
      </c>
      <c r="Z10" s="36"/>
    </row>
    <row r="11" s="11" customFormat="1" spans="2:26">
      <c r="B11" s="40"/>
      <c r="C11" s="29" t="str">
        <f>IFERROR(VLOOKUP(B11,[1]基础信息!B:D,2,FALSE),"-")</f>
        <v>-</v>
      </c>
      <c r="D11" s="30" t="str">
        <f>IFERROR(VLOOKUP(B11,[1]基础信息!B:D,3,FALSE),"-")</f>
        <v>-</v>
      </c>
      <c r="E11" s="33"/>
      <c r="F11" s="38" t="str">
        <f>IFERROR(VLOOKUP(B11,[1]基础信息!B:E,4,FALSE),"-")</f>
        <v>-</v>
      </c>
      <c r="G11" s="38"/>
      <c r="H11" s="33"/>
      <c r="I11" s="33"/>
      <c r="J11" s="33"/>
      <c r="K11" s="33"/>
      <c r="L11" s="33"/>
      <c r="M11" s="33"/>
      <c r="N11" s="33"/>
      <c r="O11" s="38">
        <f t="shared" si="5"/>
        <v>0</v>
      </c>
      <c r="P11" s="33"/>
      <c r="Q11" s="34"/>
      <c r="R11" s="34"/>
      <c r="S11" s="34"/>
      <c r="T11" s="34"/>
      <c r="U11" s="34"/>
      <c r="V11" s="34"/>
      <c r="W11" s="34">
        <f t="shared" si="3"/>
        <v>0</v>
      </c>
      <c r="X11" s="35">
        <v>0</v>
      </c>
      <c r="Y11" s="35">
        <f t="shared" si="4"/>
        <v>0</v>
      </c>
      <c r="Z11" s="36"/>
    </row>
    <row r="12" s="11" customFormat="1" spans="2:26">
      <c r="B12" s="40"/>
      <c r="C12" s="29" t="str">
        <f>IFERROR(VLOOKUP(B12,[1]基础信息!B:D,2,FALSE),"-")</f>
        <v>-</v>
      </c>
      <c r="D12" s="30" t="str">
        <f>IFERROR(VLOOKUP(B12,[1]基础信息!B:D,3,FALSE),"-")</f>
        <v>-</v>
      </c>
      <c r="E12" s="33"/>
      <c r="F12" s="38" t="str">
        <f>IFERROR(VLOOKUP(B12,[1]基础信息!B:E,4,FALSE),"-")</f>
        <v>-</v>
      </c>
      <c r="G12" s="38"/>
      <c r="H12" s="33"/>
      <c r="I12" s="33"/>
      <c r="J12" s="33"/>
      <c r="K12" s="33"/>
      <c r="L12" s="33"/>
      <c r="M12" s="33"/>
      <c r="N12" s="33"/>
      <c r="O12" s="38">
        <f t="shared" si="5"/>
        <v>0</v>
      </c>
      <c r="P12" s="33"/>
      <c r="Q12" s="34"/>
      <c r="R12" s="34"/>
      <c r="S12" s="34"/>
      <c r="T12" s="34"/>
      <c r="U12" s="34"/>
      <c r="V12" s="34"/>
      <c r="W12" s="34">
        <f t="shared" si="3"/>
        <v>0</v>
      </c>
      <c r="X12" s="35">
        <v>0</v>
      </c>
      <c r="Y12" s="35">
        <f t="shared" si="4"/>
        <v>0</v>
      </c>
      <c r="Z12" s="36"/>
    </row>
    <row r="13" s="11" customFormat="1" spans="2:26">
      <c r="B13" s="40"/>
      <c r="C13" s="29" t="str">
        <f>IFERROR(VLOOKUP(B13,[1]基础信息!B:D,2,FALSE),"-")</f>
        <v>-</v>
      </c>
      <c r="D13" s="30" t="str">
        <f>IFERROR(VLOOKUP(B13,[1]基础信息!B:D,3,FALSE),"-")</f>
        <v>-</v>
      </c>
      <c r="E13" s="33"/>
      <c r="F13" s="38" t="str">
        <f>IFERROR(VLOOKUP(B13,[1]基础信息!B:E,4,FALSE),"-")</f>
        <v>-</v>
      </c>
      <c r="G13" s="38"/>
      <c r="H13" s="33"/>
      <c r="I13" s="33"/>
      <c r="J13" s="33"/>
      <c r="K13" s="33"/>
      <c r="L13" s="33"/>
      <c r="M13" s="33"/>
      <c r="N13" s="33"/>
      <c r="O13" s="38">
        <f t="shared" si="5"/>
        <v>0</v>
      </c>
      <c r="P13" s="33"/>
      <c r="Q13" s="34"/>
      <c r="R13" s="34"/>
      <c r="S13" s="34"/>
      <c r="T13" s="34"/>
      <c r="U13" s="34"/>
      <c r="V13" s="34"/>
      <c r="W13" s="34">
        <f t="shared" si="3"/>
        <v>0</v>
      </c>
      <c r="X13" s="35">
        <v>0</v>
      </c>
      <c r="Y13" s="35">
        <f t="shared" si="4"/>
        <v>0</v>
      </c>
      <c r="Z13" s="36"/>
    </row>
    <row r="14" s="11" customFormat="1" spans="2:26">
      <c r="B14" s="40"/>
      <c r="C14" s="29" t="str">
        <f>IFERROR(VLOOKUP(B14,[1]基础信息!B:D,2,FALSE),"-")</f>
        <v>-</v>
      </c>
      <c r="D14" s="30" t="str">
        <f>IFERROR(VLOOKUP(B14,[1]基础信息!B:D,3,FALSE),"-")</f>
        <v>-</v>
      </c>
      <c r="E14" s="33"/>
      <c r="F14" s="38" t="str">
        <f>IFERROR(VLOOKUP(B14,[1]基础信息!B:E,4,FALSE),"-")</f>
        <v>-</v>
      </c>
      <c r="G14" s="38"/>
      <c r="H14" s="33"/>
      <c r="I14" s="33"/>
      <c r="J14" s="33"/>
      <c r="K14" s="33"/>
      <c r="L14" s="33"/>
      <c r="M14" s="33"/>
      <c r="N14" s="33"/>
      <c r="O14" s="38">
        <f t="shared" si="5"/>
        <v>0</v>
      </c>
      <c r="P14" s="33"/>
      <c r="Q14" s="34"/>
      <c r="R14" s="34"/>
      <c r="S14" s="34"/>
      <c r="T14" s="34"/>
      <c r="U14" s="34"/>
      <c r="V14" s="34"/>
      <c r="W14" s="34">
        <f t="shared" si="3"/>
        <v>0</v>
      </c>
      <c r="X14" s="35">
        <v>0</v>
      </c>
      <c r="Y14" s="35">
        <f t="shared" si="4"/>
        <v>0</v>
      </c>
      <c r="Z14" s="36"/>
    </row>
    <row r="15" s="11" customFormat="1" spans="2:26">
      <c r="B15" s="40"/>
      <c r="C15" s="29" t="str">
        <f>IFERROR(VLOOKUP(B15,[1]基础信息!B:D,2,FALSE),"-")</f>
        <v>-</v>
      </c>
      <c r="D15" s="30" t="str">
        <f>IFERROR(VLOOKUP(B15,[1]基础信息!B:D,3,FALSE),"-")</f>
        <v>-</v>
      </c>
      <c r="E15" s="33"/>
      <c r="F15" s="38" t="str">
        <f>IFERROR(VLOOKUP(B15,[1]基础信息!B:E,4,FALSE),"-")</f>
        <v>-</v>
      </c>
      <c r="G15" s="38"/>
      <c r="H15" s="33"/>
      <c r="I15" s="33"/>
      <c r="J15" s="33"/>
      <c r="K15" s="33"/>
      <c r="L15" s="33"/>
      <c r="M15" s="33"/>
      <c r="N15" s="33"/>
      <c r="O15" s="38">
        <f t="shared" si="5"/>
        <v>0</v>
      </c>
      <c r="P15" s="33"/>
      <c r="Q15" s="34"/>
      <c r="R15" s="34"/>
      <c r="S15" s="34"/>
      <c r="T15" s="34"/>
      <c r="U15" s="34"/>
      <c r="V15" s="34"/>
      <c r="W15" s="34">
        <f t="shared" si="3"/>
        <v>0</v>
      </c>
      <c r="X15" s="35">
        <v>0</v>
      </c>
      <c r="Y15" s="35">
        <f t="shared" si="4"/>
        <v>0</v>
      </c>
      <c r="Z15" s="36"/>
    </row>
    <row r="16" s="11" customFormat="1" spans="2:26">
      <c r="B16" s="40"/>
      <c r="C16" s="29" t="str">
        <f>IFERROR(VLOOKUP(B16,[1]基础信息!B:D,2,FALSE),"-")</f>
        <v>-</v>
      </c>
      <c r="D16" s="30" t="str">
        <f>IFERROR(VLOOKUP(B16,[1]基础信息!B:D,3,FALSE),"-")</f>
        <v>-</v>
      </c>
      <c r="E16" s="33"/>
      <c r="F16" s="38" t="str">
        <f>IFERROR(VLOOKUP(B16,[1]基础信息!B:E,4,FALSE),"-")</f>
        <v>-</v>
      </c>
      <c r="G16" s="38"/>
      <c r="H16" s="33"/>
      <c r="I16" s="33"/>
      <c r="J16" s="33"/>
      <c r="K16" s="33"/>
      <c r="L16" s="33"/>
      <c r="M16" s="33"/>
      <c r="N16" s="33"/>
      <c r="O16" s="38">
        <f t="shared" si="5"/>
        <v>0</v>
      </c>
      <c r="P16" s="33"/>
      <c r="Q16" s="34"/>
      <c r="R16" s="34"/>
      <c r="S16" s="34"/>
      <c r="T16" s="34"/>
      <c r="U16" s="34"/>
      <c r="V16" s="34"/>
      <c r="W16" s="34">
        <f t="shared" si="3"/>
        <v>0</v>
      </c>
      <c r="X16" s="35">
        <v>0</v>
      </c>
      <c r="Y16" s="35">
        <f t="shared" si="4"/>
        <v>0</v>
      </c>
      <c r="Z16" s="36"/>
    </row>
    <row r="17" s="11" customFormat="1" spans="2:26">
      <c r="B17" s="40"/>
      <c r="C17" s="29" t="str">
        <f>IFERROR(VLOOKUP(B17,[1]基础信息!B:D,2,FALSE),"-")</f>
        <v>-</v>
      </c>
      <c r="D17" s="30" t="str">
        <f>IFERROR(VLOOKUP(B17,[1]基础信息!B:D,3,FALSE),"-")</f>
        <v>-</v>
      </c>
      <c r="E17" s="33"/>
      <c r="F17" s="38" t="str">
        <f>IFERROR(VLOOKUP(B17,[1]基础信息!B:E,4,FALSE),"-")</f>
        <v>-</v>
      </c>
      <c r="G17" s="38"/>
      <c r="H17" s="33"/>
      <c r="I17" s="33"/>
      <c r="J17" s="33"/>
      <c r="K17" s="33"/>
      <c r="L17" s="33"/>
      <c r="M17" s="33"/>
      <c r="N17" s="33"/>
      <c r="O17" s="38">
        <f t="shared" si="5"/>
        <v>0</v>
      </c>
      <c r="P17" s="33"/>
      <c r="Q17" s="34"/>
      <c r="R17" s="34"/>
      <c r="S17" s="34"/>
      <c r="T17" s="34"/>
      <c r="U17" s="34"/>
      <c r="V17" s="34"/>
      <c r="W17" s="34">
        <f t="shared" si="3"/>
        <v>0</v>
      </c>
      <c r="X17" s="35">
        <v>0</v>
      </c>
      <c r="Y17" s="35">
        <f t="shared" si="4"/>
        <v>0</v>
      </c>
      <c r="Z17" s="36"/>
    </row>
    <row r="18" s="11" customFormat="1" spans="2:26">
      <c r="B18" s="40"/>
      <c r="C18" s="29" t="str">
        <f>IFERROR(VLOOKUP(B18,[1]基础信息!B:D,2,FALSE),"-")</f>
        <v>-</v>
      </c>
      <c r="D18" s="30" t="str">
        <f>IFERROR(VLOOKUP(B18,[1]基础信息!B:D,3,FALSE),"-")</f>
        <v>-</v>
      </c>
      <c r="E18" s="33"/>
      <c r="F18" s="38" t="str">
        <f>IFERROR(VLOOKUP(B18,[1]基础信息!B:E,4,FALSE),"-")</f>
        <v>-</v>
      </c>
      <c r="G18" s="38"/>
      <c r="H18" s="33"/>
      <c r="I18" s="33"/>
      <c r="J18" s="33"/>
      <c r="K18" s="33"/>
      <c r="L18" s="33"/>
      <c r="M18" s="33"/>
      <c r="N18" s="33"/>
      <c r="O18" s="38">
        <f t="shared" si="5"/>
        <v>0</v>
      </c>
      <c r="P18" s="33"/>
      <c r="Q18" s="34"/>
      <c r="R18" s="34"/>
      <c r="S18" s="34"/>
      <c r="T18" s="34"/>
      <c r="U18" s="34"/>
      <c r="V18" s="34"/>
      <c r="W18" s="34">
        <f t="shared" si="3"/>
        <v>0</v>
      </c>
      <c r="X18" s="35">
        <v>0</v>
      </c>
      <c r="Y18" s="35">
        <f t="shared" si="4"/>
        <v>0</v>
      </c>
      <c r="Z18" s="36"/>
    </row>
    <row r="19" s="11" customFormat="1" spans="2:26">
      <c r="B19" s="40"/>
      <c r="C19" s="29" t="str">
        <f>IFERROR(VLOOKUP(B19,[1]基础信息!B:D,2,FALSE),"-")</f>
        <v>-</v>
      </c>
      <c r="D19" s="30" t="str">
        <f>IFERROR(VLOOKUP(B19,[1]基础信息!B:D,3,FALSE),"-")</f>
        <v>-</v>
      </c>
      <c r="E19" s="33"/>
      <c r="F19" s="38" t="str">
        <f>IFERROR(VLOOKUP(B19,[1]基础信息!B:E,4,FALSE),"-")</f>
        <v>-</v>
      </c>
      <c r="G19" s="38"/>
      <c r="H19" s="33"/>
      <c r="I19" s="33"/>
      <c r="J19" s="33"/>
      <c r="K19" s="33"/>
      <c r="L19" s="33"/>
      <c r="M19" s="33"/>
      <c r="N19" s="33"/>
      <c r="O19" s="38">
        <f t="shared" si="5"/>
        <v>0</v>
      </c>
      <c r="P19" s="33"/>
      <c r="Q19" s="34"/>
      <c r="R19" s="34"/>
      <c r="S19" s="34"/>
      <c r="T19" s="34"/>
      <c r="U19" s="34"/>
      <c r="V19" s="34"/>
      <c r="W19" s="34">
        <f t="shared" si="3"/>
        <v>0</v>
      </c>
      <c r="X19" s="35">
        <v>0</v>
      </c>
      <c r="Y19" s="35">
        <f t="shared" si="4"/>
        <v>0</v>
      </c>
      <c r="Z19" s="36"/>
    </row>
    <row r="20" s="11" customFormat="1" spans="2:26">
      <c r="B20" s="40"/>
      <c r="C20" s="29" t="str">
        <f>IFERROR(VLOOKUP(B20,[1]基础信息!B:D,2,FALSE),"-")</f>
        <v>-</v>
      </c>
      <c r="D20" s="30" t="str">
        <f>IFERROR(VLOOKUP(B20,[1]基础信息!B:D,3,FALSE),"-")</f>
        <v>-</v>
      </c>
      <c r="E20" s="33"/>
      <c r="F20" s="38" t="str">
        <f>IFERROR(VLOOKUP(B20,[1]基础信息!B:E,4,FALSE),"-")</f>
        <v>-</v>
      </c>
      <c r="G20" s="38"/>
      <c r="H20" s="33"/>
      <c r="I20" s="33"/>
      <c r="J20" s="33"/>
      <c r="K20" s="33"/>
      <c r="L20" s="33"/>
      <c r="M20" s="33"/>
      <c r="N20" s="33"/>
      <c r="O20" s="38">
        <f t="shared" si="5"/>
        <v>0</v>
      </c>
      <c r="P20" s="33"/>
      <c r="Q20" s="34"/>
      <c r="R20" s="34"/>
      <c r="S20" s="34"/>
      <c r="T20" s="34"/>
      <c r="U20" s="34"/>
      <c r="V20" s="34"/>
      <c r="W20" s="34">
        <f t="shared" si="3"/>
        <v>0</v>
      </c>
      <c r="X20" s="35">
        <v>0</v>
      </c>
      <c r="Y20" s="35">
        <f t="shared" si="4"/>
        <v>0</v>
      </c>
      <c r="Z20" s="36"/>
    </row>
    <row r="21" s="11" customFormat="1" spans="2:26">
      <c r="B21" s="40"/>
      <c r="C21" s="29" t="str">
        <f>IFERROR(VLOOKUP(B21,[1]基础信息!B:D,2,FALSE),"-")</f>
        <v>-</v>
      </c>
      <c r="D21" s="30" t="str">
        <f>IFERROR(VLOOKUP(B21,[1]基础信息!B:D,3,FALSE),"-")</f>
        <v>-</v>
      </c>
      <c r="E21" s="33"/>
      <c r="F21" s="38" t="str">
        <f>IFERROR(VLOOKUP(B21,[1]基础信息!B:E,4,FALSE),"-")</f>
        <v>-</v>
      </c>
      <c r="G21" s="38"/>
      <c r="H21" s="33"/>
      <c r="I21" s="33"/>
      <c r="J21" s="33"/>
      <c r="K21" s="33"/>
      <c r="L21" s="33"/>
      <c r="M21" s="33"/>
      <c r="N21" s="33"/>
      <c r="O21" s="38">
        <f t="shared" si="5"/>
        <v>0</v>
      </c>
      <c r="P21" s="33"/>
      <c r="Q21" s="34"/>
      <c r="R21" s="34"/>
      <c r="S21" s="34"/>
      <c r="T21" s="34"/>
      <c r="U21" s="34"/>
      <c r="V21" s="34"/>
      <c r="W21" s="34">
        <f t="shared" si="3"/>
        <v>0</v>
      </c>
      <c r="X21" s="35">
        <v>0</v>
      </c>
      <c r="Y21" s="35">
        <f t="shared" si="4"/>
        <v>0</v>
      </c>
      <c r="Z21" s="36"/>
    </row>
    <row r="22" s="11" customFormat="1" spans="2:26">
      <c r="B22" s="40"/>
      <c r="C22" s="29" t="str">
        <f>IFERROR(VLOOKUP(B22,[1]基础信息!B:D,2,FALSE),"-")</f>
        <v>-</v>
      </c>
      <c r="D22" s="30" t="str">
        <f>IFERROR(VLOOKUP(B22,[1]基础信息!B:D,3,FALSE),"-")</f>
        <v>-</v>
      </c>
      <c r="E22" s="33"/>
      <c r="F22" s="38" t="str">
        <f>IFERROR(VLOOKUP(B22,[1]基础信息!B:E,4,FALSE),"-")</f>
        <v>-</v>
      </c>
      <c r="G22" s="38"/>
      <c r="H22" s="33"/>
      <c r="I22" s="33"/>
      <c r="J22" s="33"/>
      <c r="K22" s="33"/>
      <c r="L22" s="33"/>
      <c r="M22" s="33"/>
      <c r="N22" s="33"/>
      <c r="O22" s="38">
        <f t="shared" si="5"/>
        <v>0</v>
      </c>
      <c r="P22" s="33"/>
      <c r="Q22" s="34"/>
      <c r="R22" s="34"/>
      <c r="S22" s="34"/>
      <c r="T22" s="34"/>
      <c r="U22" s="34"/>
      <c r="V22" s="34"/>
      <c r="W22" s="34">
        <f t="shared" si="3"/>
        <v>0</v>
      </c>
      <c r="X22" s="35">
        <v>0</v>
      </c>
      <c r="Y22" s="35">
        <f t="shared" si="4"/>
        <v>0</v>
      </c>
      <c r="Z22" s="36"/>
    </row>
    <row r="23" s="11" customFormat="1" spans="2:26">
      <c r="B23" s="40"/>
      <c r="C23" s="29" t="str">
        <f>IFERROR(VLOOKUP(B23,[1]基础信息!B:D,2,FALSE),"-")</f>
        <v>-</v>
      </c>
      <c r="D23" s="30" t="str">
        <f>IFERROR(VLOOKUP(B23,[1]基础信息!B:D,3,FALSE),"-")</f>
        <v>-</v>
      </c>
      <c r="E23" s="33"/>
      <c r="F23" s="38" t="str">
        <f>IFERROR(VLOOKUP(B23,[1]基础信息!B:E,4,FALSE),"-")</f>
        <v>-</v>
      </c>
      <c r="G23" s="38"/>
      <c r="H23" s="33"/>
      <c r="I23" s="33"/>
      <c r="J23" s="33"/>
      <c r="K23" s="33"/>
      <c r="L23" s="33"/>
      <c r="M23" s="33"/>
      <c r="N23" s="33"/>
      <c r="O23" s="38">
        <f t="shared" si="5"/>
        <v>0</v>
      </c>
      <c r="P23" s="33"/>
      <c r="Q23" s="34"/>
      <c r="R23" s="34"/>
      <c r="S23" s="34"/>
      <c r="T23" s="34"/>
      <c r="U23" s="34"/>
      <c r="V23" s="34"/>
      <c r="W23" s="34">
        <f t="shared" si="3"/>
        <v>0</v>
      </c>
      <c r="X23" s="35">
        <v>0</v>
      </c>
      <c r="Y23" s="35">
        <f t="shared" si="4"/>
        <v>0</v>
      </c>
      <c r="Z23" s="36"/>
    </row>
    <row r="24" s="11" customFormat="1" spans="2:26">
      <c r="B24" s="40"/>
      <c r="C24" s="29" t="str">
        <f>IFERROR(VLOOKUP(B24,[1]基础信息!B:D,2,FALSE),"-")</f>
        <v>-</v>
      </c>
      <c r="D24" s="30" t="str">
        <f>IFERROR(VLOOKUP(B24,[1]基础信息!B:D,3,FALSE),"-")</f>
        <v>-</v>
      </c>
      <c r="E24" s="33"/>
      <c r="F24" s="38" t="str">
        <f>IFERROR(VLOOKUP(B24,[1]基础信息!B:E,4,FALSE),"-")</f>
        <v>-</v>
      </c>
      <c r="G24" s="38"/>
      <c r="H24" s="33"/>
      <c r="I24" s="33"/>
      <c r="J24" s="33"/>
      <c r="K24" s="33"/>
      <c r="L24" s="33"/>
      <c r="M24" s="33"/>
      <c r="N24" s="33"/>
      <c r="O24" s="38">
        <f t="shared" si="5"/>
        <v>0</v>
      </c>
      <c r="P24" s="33"/>
      <c r="Q24" s="34"/>
      <c r="R24" s="34"/>
      <c r="S24" s="34"/>
      <c r="T24" s="34"/>
      <c r="U24" s="34"/>
      <c r="V24" s="34"/>
      <c r="W24" s="34">
        <f t="shared" si="3"/>
        <v>0</v>
      </c>
      <c r="X24" s="35">
        <v>0</v>
      </c>
      <c r="Y24" s="35">
        <f t="shared" si="4"/>
        <v>0</v>
      </c>
      <c r="Z24" s="36"/>
    </row>
    <row r="25" s="11" customFormat="1" spans="2:26">
      <c r="B25" s="40"/>
      <c r="C25" s="29" t="str">
        <f>IFERROR(VLOOKUP(B25,[1]基础信息!B:D,2,FALSE),"-")</f>
        <v>-</v>
      </c>
      <c r="D25" s="30" t="str">
        <f>IFERROR(VLOOKUP(B25,[1]基础信息!B:D,3,FALSE),"-")</f>
        <v>-</v>
      </c>
      <c r="E25" s="33"/>
      <c r="F25" s="38" t="str">
        <f>IFERROR(VLOOKUP(B25,[1]基础信息!B:E,4,FALSE),"-")</f>
        <v>-</v>
      </c>
      <c r="G25" s="38"/>
      <c r="H25" s="33"/>
      <c r="I25" s="33"/>
      <c r="J25" s="33"/>
      <c r="K25" s="33"/>
      <c r="L25" s="33"/>
      <c r="M25" s="33"/>
      <c r="N25" s="33"/>
      <c r="O25" s="38">
        <f t="shared" si="5"/>
        <v>0</v>
      </c>
      <c r="P25" s="33"/>
      <c r="Q25" s="34"/>
      <c r="R25" s="34"/>
      <c r="S25" s="34"/>
      <c r="T25" s="34"/>
      <c r="U25" s="34"/>
      <c r="V25" s="34"/>
      <c r="W25" s="34">
        <f t="shared" si="3"/>
        <v>0</v>
      </c>
      <c r="X25" s="35">
        <v>0</v>
      </c>
      <c r="Y25" s="35">
        <f t="shared" si="4"/>
        <v>0</v>
      </c>
      <c r="Z25" s="36"/>
    </row>
    <row r="26" s="11" customFormat="1" spans="2:26">
      <c r="B26" s="40"/>
      <c r="C26" s="29" t="str">
        <f>IFERROR(VLOOKUP(B26,[1]基础信息!B:D,2,FALSE),"-")</f>
        <v>-</v>
      </c>
      <c r="D26" s="30" t="str">
        <f>IFERROR(VLOOKUP(B26,[1]基础信息!B:D,3,FALSE),"-")</f>
        <v>-</v>
      </c>
      <c r="E26" s="33"/>
      <c r="F26" s="38" t="str">
        <f>IFERROR(VLOOKUP(B26,[1]基础信息!B:E,4,FALSE),"-")</f>
        <v>-</v>
      </c>
      <c r="G26" s="38"/>
      <c r="H26" s="33"/>
      <c r="I26" s="33"/>
      <c r="J26" s="33"/>
      <c r="K26" s="33"/>
      <c r="L26" s="33"/>
      <c r="M26" s="33"/>
      <c r="N26" s="33"/>
      <c r="O26" s="38">
        <f t="shared" si="5"/>
        <v>0</v>
      </c>
      <c r="P26" s="33"/>
      <c r="Q26" s="34"/>
      <c r="R26" s="34"/>
      <c r="S26" s="34"/>
      <c r="T26" s="34"/>
      <c r="U26" s="34"/>
      <c r="V26" s="34"/>
      <c r="W26" s="34">
        <f t="shared" si="3"/>
        <v>0</v>
      </c>
      <c r="X26" s="35">
        <v>0</v>
      </c>
      <c r="Y26" s="35">
        <f t="shared" si="4"/>
        <v>0</v>
      </c>
      <c r="Z26" s="36"/>
    </row>
    <row r="27" s="11" customFormat="1" spans="2:26">
      <c r="B27" s="40"/>
      <c r="C27" s="29" t="str">
        <f>IFERROR(VLOOKUP(B27,[1]基础信息!B:D,2,FALSE),"-")</f>
        <v>-</v>
      </c>
      <c r="D27" s="30" t="str">
        <f>IFERROR(VLOOKUP(B27,[1]基础信息!B:D,3,FALSE),"-")</f>
        <v>-</v>
      </c>
      <c r="E27" s="33"/>
      <c r="F27" s="38" t="str">
        <f>IFERROR(VLOOKUP(B27,[1]基础信息!B:E,4,FALSE),"-")</f>
        <v>-</v>
      </c>
      <c r="G27" s="38"/>
      <c r="H27" s="33"/>
      <c r="I27" s="33"/>
      <c r="J27" s="33"/>
      <c r="K27" s="33"/>
      <c r="L27" s="33"/>
      <c r="M27" s="33"/>
      <c r="N27" s="33"/>
      <c r="O27" s="38">
        <f t="shared" si="5"/>
        <v>0</v>
      </c>
      <c r="P27" s="33"/>
      <c r="Q27" s="34"/>
      <c r="R27" s="34"/>
      <c r="S27" s="34"/>
      <c r="T27" s="34"/>
      <c r="U27" s="34"/>
      <c r="V27" s="34"/>
      <c r="W27" s="34">
        <f t="shared" si="3"/>
        <v>0</v>
      </c>
      <c r="X27" s="35">
        <v>0</v>
      </c>
      <c r="Y27" s="35">
        <f t="shared" si="4"/>
        <v>0</v>
      </c>
      <c r="Z27" s="36"/>
    </row>
    <row r="28" s="11" customFormat="1" ht="12.75" spans="2:26">
      <c r="B28" s="41" t="s">
        <v>31</v>
      </c>
      <c r="C28" s="42"/>
      <c r="D28" s="43"/>
      <c r="E28" s="43"/>
      <c r="F28" s="43">
        <f>SUM(F4:F27)</f>
        <v>38400</v>
      </c>
      <c r="G28" s="43"/>
      <c r="H28" s="43">
        <f>SUM(H4:H27)</f>
        <v>0</v>
      </c>
      <c r="I28" s="43">
        <f>SUM(I4:I27)</f>
        <v>0</v>
      </c>
      <c r="J28" s="43">
        <f>SUM(J4:J27)</f>
        <v>0</v>
      </c>
      <c r="K28" s="43"/>
      <c r="L28" s="43">
        <f>SUM(L4:L27)</f>
        <v>0</v>
      </c>
      <c r="M28" s="43"/>
      <c r="N28" s="43">
        <f>SUM(N4:N27)</f>
        <v>0</v>
      </c>
      <c r="O28" s="43">
        <f>SUM(O4:O27)</f>
        <v>38650</v>
      </c>
      <c r="P28" s="43">
        <f>SUM(P4:P27)</f>
        <v>0</v>
      </c>
      <c r="Q28" s="44"/>
      <c r="R28" s="44"/>
      <c r="S28" s="44"/>
      <c r="T28" s="44"/>
      <c r="U28" s="44"/>
      <c r="V28" s="44">
        <f>SUM(V4:V27)</f>
        <v>0</v>
      </c>
      <c r="W28" s="44">
        <f>SUM(W4:W27)</f>
        <v>4560.4</v>
      </c>
      <c r="X28" s="44">
        <f>SUM(X4:X27)</f>
        <v>103.96</v>
      </c>
      <c r="Y28" s="44">
        <f>SUM(Y4:Y27)</f>
        <v>33985.64</v>
      </c>
      <c r="Z28" s="45"/>
    </row>
  </sheetData>
  <mergeCells count="2">
    <mergeCell ref="B28:C28"/>
    <mergeCell ref="B1:Z2"/>
  </mergeCells>
  <dataValidations count="1">
    <dataValidation type="list" allowBlank="1" showInputMessage="1" showErrorMessage="1" sqref="Z4:Z28">
      <formula1>"在岗,离岗"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2" sqref="B2"/>
    </sheetView>
  </sheetViews>
  <sheetFormatPr defaultColWidth="9" defaultRowHeight="13.5" outlineLevelRow="6" outlineLevelCol="3"/>
  <cols>
    <col min="2" max="2" width="24.75" customWidth="1"/>
    <col min="3" max="3" width="33.75" customWidth="1"/>
  </cols>
  <sheetData>
    <row r="1" ht="17.25" spans="1:4">
      <c r="A1" s="1"/>
      <c r="B1" s="2"/>
      <c r="C1" s="2"/>
      <c r="D1" s="3"/>
    </row>
    <row r="2" ht="16.5" spans="1:4">
      <c r="A2" s="4" t="s">
        <v>27</v>
      </c>
      <c r="B2" s="46" t="s">
        <v>32</v>
      </c>
      <c r="C2" s="6"/>
      <c r="D2" s="7"/>
    </row>
    <row r="3" ht="16.5" spans="1:4">
      <c r="A3" s="8" t="s">
        <v>28</v>
      </c>
      <c r="B3" s="47" t="s">
        <v>33</v>
      </c>
      <c r="C3" s="6"/>
      <c r="D3" s="7"/>
    </row>
    <row r="4" ht="16.5" spans="1:4">
      <c r="A4" s="8" t="s">
        <v>29</v>
      </c>
      <c r="B4" s="47" t="s">
        <v>34</v>
      </c>
      <c r="C4" s="6"/>
      <c r="D4" s="7"/>
    </row>
    <row r="5" ht="16.5" spans="1:4">
      <c r="A5" s="10" t="s">
        <v>35</v>
      </c>
      <c r="B5" s="47" t="s">
        <v>36</v>
      </c>
      <c r="C5" s="6"/>
      <c r="D5" s="7"/>
    </row>
    <row r="6" ht="16.5" spans="1:4">
      <c r="A6" s="10" t="s">
        <v>26</v>
      </c>
      <c r="B6" s="47" t="s">
        <v>37</v>
      </c>
      <c r="C6" s="6"/>
      <c r="D6" s="7"/>
    </row>
    <row r="7" ht="16.5" spans="1:4">
      <c r="A7" s="8"/>
      <c r="B7" s="9"/>
      <c r="C7" s="6"/>
      <c r="D7" s="7"/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2023-08-15T01:52:00Z</dcterms:created>
  <dcterms:modified xsi:type="dcterms:W3CDTF">2026-03-03T08:08:36Z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60F66E236CE14A06B1D65F9555BCF60C_13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